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eneral files\nexturn 26\"/>
    </mc:Choice>
  </mc:AlternateContent>
  <xr:revisionPtr revIDLastSave="0" documentId="13_ncr:1_{813B2898-0E94-48D5-8663-532FFB30B33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Task Tracker" sheetId="2" r:id="rId2"/>
    <sheet name="Daily Work Log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4" l="1"/>
  <c r="C15" i="4"/>
  <c r="F22" i="4" s="1"/>
  <c r="C14" i="4"/>
  <c r="F21" i="4" s="1"/>
  <c r="C11" i="4"/>
  <c r="C25" i="4" s="1"/>
  <c r="C10" i="4"/>
  <c r="C24" i="4" s="1"/>
  <c r="C9" i="4"/>
  <c r="C23" i="4" s="1"/>
  <c r="C8" i="4"/>
  <c r="C22" i="4" s="1"/>
  <c r="C7" i="4"/>
  <c r="C21" i="4" s="1"/>
  <c r="C6" i="4"/>
</calcChain>
</file>

<file path=xl/sharedStrings.xml><?xml version="1.0" encoding="utf-8"?>
<sst xmlns="http://schemas.openxmlformats.org/spreadsheetml/2006/main" count="102" uniqueCount="80">
  <si>
    <t>Case Study Project Tracker</t>
  </si>
  <si>
    <t>Java Full Stack Training — Capstone Case Study</t>
  </si>
  <si>
    <t>How to use this workbook</t>
  </si>
  <si>
    <t>1. Go to the 'Task Tracker' sheet. Each trainee/team lists the tasks (modules, features, sub-tasks) for their case study there — similar to a sprint backlog in a real software team.</t>
  </si>
  <si>
    <t>2. Update your task's Status, % Complete, and Hours Spent regularly (daily/every alternate day) — do not wait until the deadline.</t>
  </si>
  <si>
    <t>3. Use the 'Daily Work Log' sheet every working day to record what you did, like a standup update: Yesterday's work, Today's plan, and any blockers.</t>
  </si>
  <si>
    <t>4. The 'Dashboard' sheet updates automatically from the Task Tracker sheet — do not edit it directly.</t>
  </si>
  <si>
    <t>5. Cells shaded light yellow are example rows — replace them with your own data. Do not delete the header rows.</t>
  </si>
  <si>
    <t>Column &amp; Status Legend (Task Tracker sheet)</t>
  </si>
  <si>
    <t>Status values: Not Started, In Progress, Blocked, In Review, Completed</t>
  </si>
  <si>
    <t>Priority values: High, Medium, Low</t>
  </si>
  <si>
    <t>% Complete: enter a whole number between 0 and 100 (e.g., 50 for 50%).</t>
  </si>
  <si>
    <t>Hours Estimated / Hours Spent: enter numeric hours (e.g., 4, 6.5).</t>
  </si>
  <si>
    <t>Remarks / Blockers: mention any dependency, doubt, or issue blocking progress — leave blank if none.</t>
  </si>
  <si>
    <t>Column Legend (Daily Work Log sheet)</t>
  </si>
  <si>
    <t>Fill one row per person per working day. Task ID should match the Task Tracker sheet where applicable.</t>
  </si>
  <si>
    <t>Conventions used in this workbook</t>
  </si>
  <si>
    <t>Yellow fill = example row / cells you should edit or replace with your own data.</t>
  </si>
  <si>
    <t>White/grey rows = your data entry rows (add as many as needed).</t>
  </si>
  <si>
    <t>Dashboard values and charts = auto-calculated, formula-driven — do not overwrite.</t>
  </si>
  <si>
    <t>Case Study Task Tracker</t>
  </si>
  <si>
    <t>Update Status, % Complete and Hours Spent regularly. See 'Instructions' sheet for the legend.</t>
  </si>
  <si>
    <t>Task ID</t>
  </si>
  <si>
    <t>Module / Feature</t>
  </si>
  <si>
    <t>Task Description</t>
  </si>
  <si>
    <t>Assigned To</t>
  </si>
  <si>
    <t>Priority</t>
  </si>
  <si>
    <t>Status</t>
  </si>
  <si>
    <t>Start Date</t>
  </si>
  <si>
    <t>Due Date</t>
  </si>
  <si>
    <t>Est. Hours</t>
  </si>
  <si>
    <t>Hours Spent</t>
  </si>
  <si>
    <t>% Complete</t>
  </si>
  <si>
    <t>Remarks / Blockers</t>
  </si>
  <si>
    <t>Last Updated</t>
  </si>
  <si>
    <t>T-001</t>
  </si>
  <si>
    <t>Patient Management</t>
  </si>
  <si>
    <t>Design patient registration form and REST API</t>
  </si>
  <si>
    <t>A. Sharma</t>
  </si>
  <si>
    <t>High</t>
  </si>
  <si>
    <t>In Progress</t>
  </si>
  <si>
    <t>Waiting on confirmation of mandatory fields</t>
  </si>
  <si>
    <t>T-002</t>
  </si>
  <si>
    <t>Database Design</t>
  </si>
  <si>
    <t>Finalize ER diagram and normalize schema</t>
  </si>
  <si>
    <t>R. Iyer</t>
  </si>
  <si>
    <t>Completed</t>
  </si>
  <si>
    <t>None</t>
  </si>
  <si>
    <t>T-003</t>
  </si>
  <si>
    <t>Authentication Module</t>
  </si>
  <si>
    <t>Implement JWT-based login and role-based access</t>
  </si>
  <si>
    <t>S. Khan</t>
  </si>
  <si>
    <t>Medium</t>
  </si>
  <si>
    <t>Not Started</t>
  </si>
  <si>
    <t>Blocked: awaiting finalized role list from team</t>
  </si>
  <si>
    <t>Daily Work Log</t>
  </si>
  <si>
    <t>Fill one row per person per working day — like a daily standup update.</t>
  </si>
  <si>
    <t>Date</t>
  </si>
  <si>
    <t>Participant Name</t>
  </si>
  <si>
    <t>Work Done Today</t>
  </si>
  <si>
    <t>Blockers / Issues</t>
  </si>
  <si>
    <t>Plan for Tomorrow</t>
  </si>
  <si>
    <t>Built patient registration form UI and wired it to a mock API.</t>
  </si>
  <si>
    <t>Connect form to real REST endpoint and add validation.</t>
  </si>
  <si>
    <t>Reviewed ER diagram with mentor and applied normalization fixes.</t>
  </si>
  <si>
    <t>Start on Doctor Management schema.</t>
  </si>
  <si>
    <t>Project Tracker Dashboard</t>
  </si>
  <si>
    <t>Auto-calculated from the 'Task Tracker' sheet — do not edit these cells.</t>
  </si>
  <si>
    <t>Task Status Summary</t>
  </si>
  <si>
    <t>Total Tasks</t>
  </si>
  <si>
    <t>Blocked</t>
  </si>
  <si>
    <t>In Review</t>
  </si>
  <si>
    <t>Effort Summary</t>
  </si>
  <si>
    <t>Total Est. Hours</t>
  </si>
  <si>
    <t>Total Hours Spent</t>
  </si>
  <si>
    <t>Avg. % Complete</t>
  </si>
  <si>
    <t>Count</t>
  </si>
  <si>
    <t>Metric</t>
  </si>
  <si>
    <t>Hours</t>
  </si>
  <si>
    <t>Spent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</si>
</sst>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"/>
    <numFmt numFmtId="166" formatCode="0.0\%"/>
  </numFmts>
  <fonts count="9" x14ac:knownFonts="1">
    <font>
      <sz val="11"/>
      <color theme="1"/>
      <name val="Calibri"/>
      <family val="2"/>
      <charset val="1"/>
    </font>
    <font>
      <b/>
      <sz val="20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6"/>
      <color rgb="FF1F3864"/>
      <name val="Arial"/>
      <charset val="1"/>
    </font>
    <font>
      <b/>
      <sz val="11"/>
      <color rgb="FFFFFFFF"/>
      <name val="Arial"/>
      <charset val="1"/>
    </font>
    <font>
      <i/>
      <sz val="10"/>
      <color rgb="FF808080"/>
      <name val="Arial"/>
      <charset val="1"/>
    </font>
    <font>
      <b/>
      <sz val="11"/>
      <color rgb="FF1F3864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5" fillId="0" borderId="0" xfId="0" applyFont="1"/>
    <xf numFmtId="0" fontId="1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5" borderId="1" xfId="0" applyFont="1" applyFill="1" applyBorder="1"/>
    <xf numFmtId="0" fontId="8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5">
    <dxf>
      <fill>
        <patternFill>
          <bgColor rgb="FFF2F2F2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D9D9D9"/>
      <rgbColor rgb="FFFF99CC"/>
      <rgbColor rgb="FFCC99FF"/>
      <rgbColor rgb="FFFFC7CE"/>
      <rgbColor rgb="FF4F81BD"/>
      <rgbColor rgb="FF4BACC6"/>
      <rgbColor rgb="FF9BBB59"/>
      <rgbColor rgb="FFFFCC00"/>
      <rgbColor rgb="FFFF9900"/>
      <rgbColor rgb="FFFF6600"/>
      <rgbColor rgb="FF8064A2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Task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66E-4E4C-8B63-B8B2AEC9881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66E-4E4C-8B63-B8B2AEC9881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66E-4E4C-8B63-B8B2AEC9881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66E-4E4C-8B63-B8B2AEC9881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66E-4E4C-8B63-B8B2AEC9881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6E-4E4C-8B63-B8B2AEC98816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6E-4E4C-8B63-B8B2AEC98816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6E-4E4C-8B63-B8B2AEC98816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6E-4E4C-8B63-B8B2AEC98816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66E-4E4C-8B63-B8B2AEC988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Dashboard!$B$21:$B$25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Blocked</c:v>
                </c:pt>
                <c:pt idx="3">
                  <c:v>In Review</c:v>
                </c:pt>
                <c:pt idx="4">
                  <c:v>Completed</c:v>
                </c:pt>
              </c:strCache>
            </c:strRef>
          </c:cat>
          <c:val>
            <c:numRef>
              <c:f>Dashboard!$C$21:$C$25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6E-4E4C-8B63-B8B2AEC98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Hours: Estimated vs Spent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Dashboard!$F$20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Dashboard!$E$21:$E$22</c:f>
              <c:strCache>
                <c:ptCount val="2"/>
                <c:pt idx="0">
                  <c:v>Est. Hours</c:v>
                </c:pt>
                <c:pt idx="1">
                  <c:v>Spent Hours</c:v>
                </c:pt>
              </c:strCache>
            </c:strRef>
          </c:cat>
          <c:val>
            <c:numRef>
              <c:f>Dashboard!$F$21:$F$22</c:f>
              <c:numCache>
                <c:formatCode>0.0</c:formatCode>
                <c:ptCount val="2"/>
                <c:pt idx="0">
                  <c:v>29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8-4FAE-AC37-C4E4E3847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3176"/>
        <c:axId val="98183877"/>
      </c:barChart>
      <c:catAx>
        <c:axId val="4213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183877"/>
        <c:crosses val="autoZero"/>
        <c:auto val="1"/>
        <c:lblAlgn val="ctr"/>
        <c:lblOffset val="100"/>
        <c:noMultiLvlLbl val="0"/>
      </c:catAx>
      <c:valAx>
        <c:axId val="981838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131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131040</xdr:rowOff>
    </xdr:from>
    <xdr:to>
      <xdr:col>11</xdr:col>
      <xdr:colOff>39240</xdr:colOff>
      <xdr:row>18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130680</xdr:rowOff>
    </xdr:from>
    <xdr:to>
      <xdr:col>11</xdr:col>
      <xdr:colOff>39240</xdr:colOff>
      <xdr:row>33</xdr:row>
      <xdr:rowOff>153000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5"/>
  <sheetViews>
    <sheetView showGridLines="0" topLeftCell="A13" zoomScale="160" zoomScaleNormal="160" workbookViewId="0"/>
  </sheetViews>
  <sheetFormatPr defaultColWidth="8.6640625" defaultRowHeight="14.4" x14ac:dyDescent="0.3"/>
  <cols>
    <col min="1" max="1" width="3" customWidth="1"/>
    <col min="2" max="2" width="100" customWidth="1"/>
    <col min="3" max="9" width="12" customWidth="1"/>
  </cols>
  <sheetData>
    <row r="2" spans="2:9" ht="24.6" x14ac:dyDescent="0.4">
      <c r="B2" s="3" t="s">
        <v>0</v>
      </c>
    </row>
    <row r="3" spans="2:9" x14ac:dyDescent="0.3">
      <c r="B3" s="1" t="s">
        <v>1</v>
      </c>
    </row>
    <row r="5" spans="2:9" ht="15" customHeight="1" x14ac:dyDescent="0.3">
      <c r="B5" s="21" t="s">
        <v>2</v>
      </c>
      <c r="C5" s="21"/>
      <c r="D5" s="21"/>
      <c r="E5" s="21"/>
      <c r="F5" s="21"/>
      <c r="G5" s="21"/>
      <c r="H5" s="21"/>
      <c r="I5" s="21"/>
    </row>
    <row r="6" spans="2:9" ht="15" customHeight="1" x14ac:dyDescent="0.3">
      <c r="B6" s="20" t="s">
        <v>3</v>
      </c>
      <c r="C6" s="20"/>
      <c r="D6" s="20"/>
      <c r="E6" s="20"/>
      <c r="F6" s="20"/>
      <c r="G6" s="20"/>
      <c r="H6" s="20"/>
      <c r="I6" s="20"/>
    </row>
    <row r="7" spans="2:9" ht="15" customHeight="1" x14ac:dyDescent="0.3">
      <c r="B7" s="20" t="s">
        <v>4</v>
      </c>
      <c r="C7" s="20"/>
      <c r="D7" s="20"/>
      <c r="E7" s="20"/>
      <c r="F7" s="20"/>
      <c r="G7" s="20"/>
      <c r="H7" s="20"/>
      <c r="I7" s="20"/>
    </row>
    <row r="8" spans="2:9" ht="15" customHeight="1" x14ac:dyDescent="0.3">
      <c r="B8" s="20" t="s">
        <v>5</v>
      </c>
      <c r="C8" s="20"/>
      <c r="D8" s="20"/>
      <c r="E8" s="20"/>
      <c r="F8" s="20"/>
      <c r="G8" s="20"/>
      <c r="H8" s="20"/>
      <c r="I8" s="20"/>
    </row>
    <row r="9" spans="2:9" ht="15" customHeight="1" x14ac:dyDescent="0.3">
      <c r="B9" s="20" t="s">
        <v>6</v>
      </c>
      <c r="C9" s="20"/>
      <c r="D9" s="20"/>
      <c r="E9" s="20"/>
      <c r="F9" s="20"/>
      <c r="G9" s="20"/>
      <c r="H9" s="20"/>
      <c r="I9" s="20"/>
    </row>
    <row r="10" spans="2:9" ht="15" customHeight="1" x14ac:dyDescent="0.3">
      <c r="B10" s="20" t="s">
        <v>7</v>
      </c>
      <c r="C10" s="20"/>
      <c r="D10" s="20"/>
      <c r="E10" s="20"/>
      <c r="F10" s="20"/>
      <c r="G10" s="20"/>
      <c r="H10" s="20"/>
      <c r="I10" s="20"/>
    </row>
    <row r="11" spans="2:9" x14ac:dyDescent="0.3">
      <c r="B11" s="20"/>
      <c r="C11" s="20"/>
      <c r="D11" s="20"/>
      <c r="E11" s="20"/>
      <c r="F11" s="20"/>
      <c r="G11" s="20"/>
      <c r="H11" s="20"/>
      <c r="I11" s="20"/>
    </row>
    <row r="12" spans="2:9" ht="15" customHeight="1" x14ac:dyDescent="0.3">
      <c r="B12" s="21" t="s">
        <v>8</v>
      </c>
      <c r="C12" s="21"/>
      <c r="D12" s="21"/>
      <c r="E12" s="21"/>
      <c r="F12" s="21"/>
      <c r="G12" s="21"/>
      <c r="H12" s="21"/>
      <c r="I12" s="21"/>
    </row>
    <row r="13" spans="2:9" ht="15" customHeight="1" x14ac:dyDescent="0.3">
      <c r="B13" s="20" t="s">
        <v>9</v>
      </c>
      <c r="C13" s="20"/>
      <c r="D13" s="20"/>
      <c r="E13" s="20"/>
      <c r="F13" s="20"/>
      <c r="G13" s="20"/>
      <c r="H13" s="20"/>
      <c r="I13" s="20"/>
    </row>
    <row r="14" spans="2:9" ht="15" customHeight="1" x14ac:dyDescent="0.3">
      <c r="B14" s="20" t="s">
        <v>10</v>
      </c>
      <c r="C14" s="20"/>
      <c r="D14" s="20"/>
      <c r="E14" s="20"/>
      <c r="F14" s="20"/>
      <c r="G14" s="20"/>
      <c r="H14" s="20"/>
      <c r="I14" s="20"/>
    </row>
    <row r="15" spans="2:9" ht="15" customHeight="1" x14ac:dyDescent="0.3">
      <c r="B15" s="20" t="s">
        <v>11</v>
      </c>
      <c r="C15" s="20"/>
      <c r="D15" s="20"/>
      <c r="E15" s="20"/>
      <c r="F15" s="20"/>
      <c r="G15" s="20"/>
      <c r="H15" s="20"/>
      <c r="I15" s="20"/>
    </row>
    <row r="16" spans="2:9" ht="15" customHeight="1" x14ac:dyDescent="0.3">
      <c r="B16" s="20" t="s">
        <v>12</v>
      </c>
      <c r="C16" s="20"/>
      <c r="D16" s="20"/>
      <c r="E16" s="20"/>
      <c r="F16" s="20"/>
      <c r="G16" s="20"/>
      <c r="H16" s="20"/>
      <c r="I16" s="20"/>
    </row>
    <row r="17" spans="2:9" ht="15" customHeight="1" x14ac:dyDescent="0.3">
      <c r="B17" s="20" t="s">
        <v>13</v>
      </c>
      <c r="C17" s="20"/>
      <c r="D17" s="20"/>
      <c r="E17" s="20"/>
      <c r="F17" s="20"/>
      <c r="G17" s="20"/>
      <c r="H17" s="20"/>
      <c r="I17" s="20"/>
    </row>
    <row r="18" spans="2:9" x14ac:dyDescent="0.3">
      <c r="B18" s="20"/>
      <c r="C18" s="20"/>
      <c r="D18" s="20"/>
      <c r="E18" s="20"/>
      <c r="F18" s="20"/>
      <c r="G18" s="20"/>
      <c r="H18" s="20"/>
      <c r="I18" s="20"/>
    </row>
    <row r="19" spans="2:9" ht="15" customHeight="1" x14ac:dyDescent="0.3">
      <c r="B19" s="21" t="s">
        <v>14</v>
      </c>
      <c r="C19" s="21"/>
      <c r="D19" s="21"/>
      <c r="E19" s="21"/>
      <c r="F19" s="21"/>
      <c r="G19" s="21"/>
      <c r="H19" s="21"/>
      <c r="I19" s="21"/>
    </row>
    <row r="20" spans="2:9" ht="15" customHeight="1" x14ac:dyDescent="0.3">
      <c r="B20" s="20" t="s">
        <v>15</v>
      </c>
      <c r="C20" s="20"/>
      <c r="D20" s="20"/>
      <c r="E20" s="20"/>
      <c r="F20" s="20"/>
      <c r="G20" s="20"/>
      <c r="H20" s="20"/>
      <c r="I20" s="20"/>
    </row>
    <row r="21" spans="2:9" x14ac:dyDescent="0.3">
      <c r="B21" s="20"/>
      <c r="C21" s="20"/>
      <c r="D21" s="20"/>
      <c r="E21" s="20"/>
      <c r="F21" s="20"/>
      <c r="G21" s="20"/>
      <c r="H21" s="20"/>
      <c r="I21" s="20"/>
    </row>
    <row r="22" spans="2:9" ht="15" customHeight="1" x14ac:dyDescent="0.3">
      <c r="B22" s="21" t="s">
        <v>16</v>
      </c>
      <c r="C22" s="21"/>
      <c r="D22" s="21"/>
      <c r="E22" s="21"/>
      <c r="F22" s="21"/>
      <c r="G22" s="21"/>
      <c r="H22" s="21"/>
      <c r="I22" s="21"/>
    </row>
    <row r="23" spans="2:9" ht="15" customHeight="1" x14ac:dyDescent="0.3">
      <c r="B23" s="20" t="s">
        <v>17</v>
      </c>
      <c r="C23" s="20"/>
      <c r="D23" s="20"/>
      <c r="E23" s="20"/>
      <c r="F23" s="20"/>
      <c r="G23" s="20"/>
      <c r="H23" s="20"/>
      <c r="I23" s="20"/>
    </row>
    <row r="24" spans="2:9" ht="15" customHeight="1" x14ac:dyDescent="0.3">
      <c r="B24" s="20" t="s">
        <v>18</v>
      </c>
      <c r="C24" s="20"/>
      <c r="D24" s="20"/>
      <c r="E24" s="20"/>
      <c r="F24" s="20"/>
      <c r="G24" s="20"/>
      <c r="H24" s="20"/>
      <c r="I24" s="20"/>
    </row>
    <row r="25" spans="2:9" ht="15" customHeight="1" x14ac:dyDescent="0.3">
      <c r="B25" s="20" t="s">
        <v>19</v>
      </c>
      <c r="C25" s="20"/>
      <c r="D25" s="20"/>
      <c r="E25" s="20"/>
      <c r="F25" s="20"/>
      <c r="G25" s="20"/>
      <c r="H25" s="20"/>
      <c r="I25" s="20"/>
    </row>
  </sheetData>
  <mergeCells count="21"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5:I25"/>
    <mergeCell ref="B20:I20"/>
    <mergeCell ref="B21:I21"/>
    <mergeCell ref="B22:I22"/>
    <mergeCell ref="B23:I23"/>
    <mergeCell ref="B24:I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showGridLines="0" tabSelected="1" topLeftCell="D1" zoomScale="140" zoomScaleNormal="140" workbookViewId="0">
      <pane ySplit="4" topLeftCell="A5" activePane="bottomLeft" state="frozen"/>
      <selection pane="bottomLeft" activeCell="J10" sqref="J10"/>
    </sheetView>
  </sheetViews>
  <sheetFormatPr defaultColWidth="8.6640625" defaultRowHeight="14.4" x14ac:dyDescent="0.3"/>
  <cols>
    <col min="1" max="1" width="9" customWidth="1"/>
    <col min="2" max="2" width="20" customWidth="1"/>
    <col min="3" max="3" width="34" customWidth="1"/>
    <col min="4" max="4" width="13" customWidth="1"/>
    <col min="5" max="5" width="10" customWidth="1"/>
    <col min="6" max="8" width="13" customWidth="1"/>
    <col min="9" max="10" width="10" customWidth="1"/>
    <col min="11" max="11" width="11" customWidth="1"/>
    <col min="12" max="12" width="30" customWidth="1"/>
    <col min="13" max="13" width="13" customWidth="1"/>
  </cols>
  <sheetData>
    <row r="1" spans="1:13" ht="21" x14ac:dyDescent="0.4">
      <c r="A1" s="22" t="s">
        <v>20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3">
      <c r="A2" s="23" t="s">
        <v>21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spans="1:13" ht="30" customHeight="1" x14ac:dyDescent="0.3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32</v>
      </c>
      <c r="L4" s="4" t="s">
        <v>33</v>
      </c>
      <c r="M4" s="4" t="s">
        <v>34</v>
      </c>
    </row>
    <row r="5" spans="1:13" ht="26.4" x14ac:dyDescent="0.3">
      <c r="A5" s="5" t="s">
        <v>35</v>
      </c>
      <c r="B5" s="6" t="s">
        <v>36</v>
      </c>
      <c r="C5" s="6" t="s">
        <v>37</v>
      </c>
      <c r="D5" s="5" t="s">
        <v>38</v>
      </c>
      <c r="E5" s="5" t="s">
        <v>39</v>
      </c>
      <c r="F5" s="5" t="s">
        <v>40</v>
      </c>
      <c r="G5" s="7">
        <v>46286</v>
      </c>
      <c r="H5" s="7">
        <v>46291</v>
      </c>
      <c r="I5" s="5">
        <v>8</v>
      </c>
      <c r="J5" s="5">
        <v>5</v>
      </c>
      <c r="K5" s="5">
        <v>60</v>
      </c>
      <c r="L5" s="6" t="s">
        <v>41</v>
      </c>
      <c r="M5" s="7">
        <v>46288</v>
      </c>
    </row>
    <row r="6" spans="1:13" ht="26.4" x14ac:dyDescent="0.3">
      <c r="A6" s="5" t="s">
        <v>42</v>
      </c>
      <c r="B6" s="6" t="s">
        <v>43</v>
      </c>
      <c r="C6" s="6" t="s">
        <v>44</v>
      </c>
      <c r="D6" s="5" t="s">
        <v>45</v>
      </c>
      <c r="E6" s="5" t="s">
        <v>39</v>
      </c>
      <c r="F6" s="5" t="s">
        <v>46</v>
      </c>
      <c r="G6" s="7">
        <v>46283</v>
      </c>
      <c r="H6" s="7">
        <v>46287</v>
      </c>
      <c r="I6" s="5">
        <v>6</v>
      </c>
      <c r="J6" s="5">
        <v>6</v>
      </c>
      <c r="K6" s="5">
        <v>100</v>
      </c>
      <c r="L6" s="6" t="s">
        <v>47</v>
      </c>
      <c r="M6" s="7">
        <v>46287</v>
      </c>
    </row>
    <row r="7" spans="1:13" ht="26.4" x14ac:dyDescent="0.3">
      <c r="A7" s="5" t="s">
        <v>48</v>
      </c>
      <c r="B7" s="6" t="s">
        <v>49</v>
      </c>
      <c r="C7" s="6" t="s">
        <v>50</v>
      </c>
      <c r="D7" s="5" t="s">
        <v>51</v>
      </c>
      <c r="E7" s="5" t="s">
        <v>52</v>
      </c>
      <c r="F7" s="5" t="s">
        <v>53</v>
      </c>
      <c r="G7" s="7">
        <v>46289</v>
      </c>
      <c r="H7" s="7">
        <v>46294</v>
      </c>
      <c r="I7" s="5">
        <v>15</v>
      </c>
      <c r="J7" s="5">
        <v>16</v>
      </c>
      <c r="K7" s="5">
        <v>0</v>
      </c>
      <c r="L7" s="6" t="s">
        <v>54</v>
      </c>
      <c r="M7" s="7">
        <v>46287</v>
      </c>
    </row>
    <row r="8" spans="1:13" x14ac:dyDescent="0.3">
      <c r="A8" s="8"/>
      <c r="B8" s="9"/>
      <c r="C8" s="9"/>
      <c r="D8" s="8"/>
      <c r="E8" s="8"/>
      <c r="F8" s="8"/>
      <c r="G8" s="10"/>
      <c r="H8" s="10"/>
      <c r="I8" s="8"/>
      <c r="J8" s="8"/>
      <c r="K8" s="8"/>
      <c r="L8" s="9"/>
      <c r="M8" s="10"/>
    </row>
    <row r="9" spans="1:13" x14ac:dyDescent="0.3">
      <c r="A9" s="11"/>
      <c r="B9" s="12"/>
      <c r="C9" s="12"/>
      <c r="D9" s="11"/>
      <c r="E9" s="11"/>
      <c r="F9" s="11"/>
      <c r="G9" s="13"/>
      <c r="H9" s="13"/>
      <c r="I9" s="11"/>
      <c r="J9" s="11"/>
      <c r="K9" s="11"/>
      <c r="L9" s="12"/>
      <c r="M9" s="13"/>
    </row>
    <row r="10" spans="1:13" x14ac:dyDescent="0.3">
      <c r="A10" s="8"/>
      <c r="B10" s="9"/>
      <c r="C10" s="9"/>
      <c r="D10" s="8"/>
      <c r="E10" s="8"/>
      <c r="F10" s="8"/>
      <c r="G10" s="10"/>
      <c r="H10" s="10"/>
      <c r="I10" s="8"/>
      <c r="J10" s="8"/>
      <c r="K10" s="8"/>
      <c r="L10" s="9"/>
      <c r="M10" s="10"/>
    </row>
    <row r="11" spans="1:13" x14ac:dyDescent="0.3">
      <c r="A11" s="11"/>
      <c r="B11" s="12"/>
      <c r="C11" s="12"/>
      <c r="D11" s="11"/>
      <c r="E11" s="11"/>
      <c r="F11" s="11"/>
      <c r="G11" s="13"/>
      <c r="H11" s="13"/>
      <c r="I11" s="11"/>
      <c r="J11" s="11"/>
      <c r="K11" s="11"/>
      <c r="L11" s="12"/>
      <c r="M11" s="13"/>
    </row>
    <row r="12" spans="1:13" x14ac:dyDescent="0.3">
      <c r="A12" s="8"/>
      <c r="B12" s="9"/>
      <c r="C12" s="9"/>
      <c r="D12" s="8"/>
      <c r="E12" s="8"/>
      <c r="F12" s="8"/>
      <c r="G12" s="10"/>
      <c r="H12" s="10"/>
      <c r="I12" s="8"/>
      <c r="J12" s="8"/>
      <c r="K12" s="8"/>
      <c r="L12" s="9"/>
      <c r="M12" s="10"/>
    </row>
    <row r="13" spans="1:13" x14ac:dyDescent="0.3">
      <c r="A13" s="11"/>
      <c r="B13" s="12"/>
      <c r="C13" s="12"/>
      <c r="D13" s="11"/>
      <c r="E13" s="11"/>
      <c r="F13" s="11"/>
      <c r="G13" s="13"/>
      <c r="H13" s="13"/>
      <c r="I13" s="11"/>
      <c r="J13" s="11"/>
      <c r="K13" s="11"/>
      <c r="L13" s="12"/>
      <c r="M13" s="13"/>
    </row>
    <row r="14" spans="1:13" x14ac:dyDescent="0.3">
      <c r="A14" s="8"/>
      <c r="B14" s="9"/>
      <c r="C14" s="9"/>
      <c r="D14" s="8"/>
      <c r="E14" s="8"/>
      <c r="F14" s="8"/>
      <c r="G14" s="10"/>
      <c r="H14" s="10"/>
      <c r="I14" s="8"/>
      <c r="J14" s="8"/>
      <c r="K14" s="8"/>
      <c r="L14" s="9"/>
      <c r="M14" s="10"/>
    </row>
    <row r="15" spans="1:13" x14ac:dyDescent="0.3">
      <c r="A15" s="11"/>
      <c r="B15" s="12"/>
      <c r="C15" s="12"/>
      <c r="D15" s="11"/>
      <c r="E15" s="11"/>
      <c r="F15" s="11"/>
      <c r="G15" s="13"/>
      <c r="H15" s="13"/>
      <c r="I15" s="11"/>
      <c r="J15" s="11"/>
      <c r="K15" s="11"/>
      <c r="L15" s="12"/>
      <c r="M15" s="13"/>
    </row>
    <row r="16" spans="1:13" x14ac:dyDescent="0.3">
      <c r="A16" s="8"/>
      <c r="B16" s="9"/>
      <c r="C16" s="9"/>
      <c r="D16" s="8"/>
      <c r="E16" s="8"/>
      <c r="F16" s="8"/>
      <c r="G16" s="10"/>
      <c r="H16" s="10"/>
      <c r="I16" s="8"/>
      <c r="J16" s="8"/>
      <c r="K16" s="8"/>
      <c r="L16" s="9"/>
      <c r="M16" s="10"/>
    </row>
    <row r="17" spans="1:13" x14ac:dyDescent="0.3">
      <c r="A17" s="11"/>
      <c r="B17" s="12"/>
      <c r="C17" s="12"/>
      <c r="D17" s="11"/>
      <c r="E17" s="11"/>
      <c r="F17" s="11"/>
      <c r="G17" s="13"/>
      <c r="H17" s="13"/>
      <c r="I17" s="11"/>
      <c r="J17" s="11"/>
      <c r="K17" s="11"/>
      <c r="L17" s="12"/>
      <c r="M17" s="13"/>
    </row>
    <row r="18" spans="1:13" x14ac:dyDescent="0.3">
      <c r="A18" s="8"/>
      <c r="B18" s="9"/>
      <c r="C18" s="9"/>
      <c r="D18" s="8"/>
      <c r="E18" s="8"/>
      <c r="F18" s="8"/>
      <c r="G18" s="10"/>
      <c r="H18" s="10"/>
      <c r="I18" s="8"/>
      <c r="J18" s="8"/>
      <c r="K18" s="8"/>
      <c r="L18" s="9"/>
      <c r="M18" s="10"/>
    </row>
    <row r="19" spans="1:13" x14ac:dyDescent="0.3">
      <c r="A19" s="11"/>
      <c r="B19" s="12"/>
      <c r="C19" s="12"/>
      <c r="D19" s="11"/>
      <c r="E19" s="11"/>
      <c r="F19" s="11"/>
      <c r="G19" s="13"/>
      <c r="H19" s="13"/>
      <c r="I19" s="11"/>
      <c r="J19" s="11"/>
      <c r="K19" s="11"/>
      <c r="L19" s="12"/>
      <c r="M19" s="13"/>
    </row>
    <row r="20" spans="1:13" x14ac:dyDescent="0.3">
      <c r="A20" s="8"/>
      <c r="B20" s="9"/>
      <c r="C20" s="9"/>
      <c r="D20" s="8"/>
      <c r="E20" s="8"/>
      <c r="F20" s="8"/>
      <c r="G20" s="10"/>
      <c r="H20" s="10"/>
      <c r="I20" s="8"/>
      <c r="J20" s="8"/>
      <c r="K20" s="8"/>
      <c r="L20" s="9"/>
      <c r="M20" s="10"/>
    </row>
    <row r="21" spans="1:13" x14ac:dyDescent="0.3">
      <c r="A21" s="11"/>
      <c r="B21" s="12"/>
      <c r="C21" s="12"/>
      <c r="D21" s="11"/>
      <c r="E21" s="11"/>
      <c r="F21" s="11"/>
      <c r="G21" s="13"/>
      <c r="H21" s="13"/>
      <c r="I21" s="11"/>
      <c r="J21" s="11"/>
      <c r="K21" s="11"/>
      <c r="L21" s="12"/>
      <c r="M21" s="13"/>
    </row>
    <row r="22" spans="1:13" x14ac:dyDescent="0.3">
      <c r="A22" s="8"/>
      <c r="B22" s="9"/>
      <c r="C22" s="9"/>
      <c r="D22" s="8"/>
      <c r="E22" s="8"/>
      <c r="F22" s="8"/>
      <c r="G22" s="10"/>
      <c r="H22" s="10"/>
      <c r="I22" s="8"/>
      <c r="J22" s="8"/>
      <c r="K22" s="8"/>
      <c r="L22" s="9"/>
      <c r="M22" s="10"/>
    </row>
    <row r="23" spans="1:13" x14ac:dyDescent="0.3">
      <c r="A23" s="11"/>
      <c r="B23" s="12"/>
      <c r="C23" s="12"/>
      <c r="D23" s="11"/>
      <c r="E23" s="11"/>
      <c r="F23" s="11"/>
      <c r="G23" s="13"/>
      <c r="H23" s="13"/>
      <c r="I23" s="11"/>
      <c r="J23" s="11"/>
      <c r="K23" s="11"/>
      <c r="L23" s="12"/>
      <c r="M23" s="13"/>
    </row>
    <row r="24" spans="1:13" x14ac:dyDescent="0.3">
      <c r="A24" s="8"/>
      <c r="B24" s="9"/>
      <c r="C24" s="9"/>
      <c r="D24" s="8"/>
      <c r="E24" s="8"/>
      <c r="F24" s="8"/>
      <c r="G24" s="10"/>
      <c r="H24" s="10"/>
      <c r="I24" s="8"/>
      <c r="J24" s="8"/>
      <c r="K24" s="8"/>
      <c r="L24" s="9"/>
      <c r="M24" s="10"/>
    </row>
    <row r="25" spans="1:13" x14ac:dyDescent="0.3">
      <c r="A25" s="11"/>
      <c r="B25" s="12"/>
      <c r="C25" s="12"/>
      <c r="D25" s="11"/>
      <c r="E25" s="11"/>
      <c r="F25" s="11"/>
      <c r="G25" s="13"/>
      <c r="H25" s="13"/>
      <c r="I25" s="11"/>
      <c r="J25" s="11"/>
      <c r="K25" s="11"/>
      <c r="L25" s="12"/>
      <c r="M25" s="13"/>
    </row>
    <row r="26" spans="1:13" x14ac:dyDescent="0.3">
      <c r="A26" s="8"/>
      <c r="B26" s="9"/>
      <c r="C26" s="9"/>
      <c r="D26" s="8"/>
      <c r="E26" s="8"/>
      <c r="F26" s="8"/>
      <c r="G26" s="10"/>
      <c r="H26" s="10"/>
      <c r="I26" s="8"/>
      <c r="J26" s="8"/>
      <c r="K26" s="8"/>
      <c r="L26" s="9"/>
      <c r="M26" s="10"/>
    </row>
    <row r="27" spans="1:13" x14ac:dyDescent="0.3">
      <c r="A27" s="11"/>
      <c r="B27" s="12"/>
      <c r="C27" s="12"/>
      <c r="D27" s="11"/>
      <c r="E27" s="11"/>
      <c r="F27" s="11"/>
      <c r="G27" s="13"/>
      <c r="H27" s="13"/>
      <c r="I27" s="11"/>
      <c r="J27" s="11"/>
      <c r="K27" s="11"/>
      <c r="L27" s="12"/>
      <c r="M27" s="13"/>
    </row>
    <row r="28" spans="1:13" x14ac:dyDescent="0.3">
      <c r="A28" s="8"/>
      <c r="B28" s="9"/>
      <c r="C28" s="9"/>
      <c r="D28" s="8"/>
      <c r="E28" s="8"/>
      <c r="F28" s="8"/>
      <c r="G28" s="10"/>
      <c r="H28" s="10"/>
      <c r="I28" s="8"/>
      <c r="J28" s="8"/>
      <c r="K28" s="8"/>
      <c r="L28" s="9"/>
      <c r="M28" s="10"/>
    </row>
    <row r="29" spans="1:13" x14ac:dyDescent="0.3">
      <c r="A29" s="11"/>
      <c r="B29" s="12"/>
      <c r="C29" s="12"/>
      <c r="D29" s="11"/>
      <c r="E29" s="11"/>
      <c r="F29" s="11"/>
      <c r="G29" s="13"/>
      <c r="H29" s="13"/>
      <c r="I29" s="11"/>
      <c r="J29" s="11"/>
      <c r="K29" s="11"/>
      <c r="L29" s="12"/>
      <c r="M29" s="13"/>
    </row>
    <row r="30" spans="1:13" x14ac:dyDescent="0.3">
      <c r="A30" s="8"/>
      <c r="B30" s="9"/>
      <c r="C30" s="9"/>
      <c r="D30" s="8"/>
      <c r="E30" s="8"/>
      <c r="F30" s="8"/>
      <c r="G30" s="10"/>
      <c r="H30" s="10"/>
      <c r="I30" s="8"/>
      <c r="J30" s="8"/>
      <c r="K30" s="8"/>
      <c r="L30" s="9"/>
      <c r="M30" s="10"/>
    </row>
    <row r="31" spans="1:13" x14ac:dyDescent="0.3">
      <c r="A31" s="11"/>
      <c r="B31" s="12"/>
      <c r="C31" s="12"/>
      <c r="D31" s="11"/>
      <c r="E31" s="11"/>
      <c r="F31" s="11"/>
      <c r="G31" s="13"/>
      <c r="H31" s="13"/>
      <c r="I31" s="11"/>
      <c r="J31" s="11"/>
      <c r="K31" s="11"/>
      <c r="L31" s="12"/>
      <c r="M31" s="13"/>
    </row>
    <row r="32" spans="1:13" x14ac:dyDescent="0.3">
      <c r="A32" s="8"/>
      <c r="B32" s="9"/>
      <c r="C32" s="9"/>
      <c r="D32" s="8"/>
      <c r="E32" s="8"/>
      <c r="F32" s="8"/>
      <c r="G32" s="10"/>
      <c r="H32" s="10"/>
      <c r="I32" s="8"/>
      <c r="J32" s="8"/>
      <c r="K32" s="8"/>
      <c r="L32" s="9"/>
      <c r="M32" s="10"/>
    </row>
  </sheetData>
  <mergeCells count="2">
    <mergeCell ref="A1:M1"/>
    <mergeCell ref="A2:M2"/>
  </mergeCells>
  <conditionalFormatting sqref="F5:F32">
    <cfRule type="cellIs" dxfId="4" priority="2" operator="equal">
      <formula>"Completed"</formula>
    </cfRule>
    <cfRule type="cellIs" dxfId="3" priority="3" operator="equal">
      <formula>"Blocked"</formula>
    </cfRule>
    <cfRule type="cellIs" dxfId="2" priority="4" operator="equal">
      <formula>"In Progress"</formula>
    </cfRule>
    <cfRule type="cellIs" dxfId="1" priority="5" operator="equal">
      <formula>"In Review"</formula>
    </cfRule>
    <cfRule type="cellIs" dxfId="0" priority="6" operator="equal">
      <formula>"Not Started"</formula>
    </cfRule>
  </conditionalFormatting>
  <conditionalFormatting sqref="K5:K32">
    <cfRule type="colorScale" priority="7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dataValidations count="3">
    <dataValidation type="list" allowBlank="1" sqref="E5:E32" xr:uid="{00000000-0002-0000-0100-000000000000}">
      <formula1>"High,Medium,Low"</formula1>
      <formula2>0</formula2>
    </dataValidation>
    <dataValidation type="list" allowBlank="1" sqref="F5:F32" xr:uid="{00000000-0002-0000-0100-000001000000}">
      <formula1>"Not Started,In Progress,Blocked,In Review,Completed"</formula1>
      <formula2>0</formula2>
    </dataValidation>
    <dataValidation type="whole" allowBlank="1" showErrorMessage="1" errorTitle="Invalid %" error="Enter a whole number between 0 and 100." sqref="K5:K32" xr:uid="{00000000-0002-0000-0100-000002000000}">
      <formula1>0</formula1>
      <formula2>100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showGridLines="0" zoomScale="120" zoomScaleNormal="120" workbookViewId="0">
      <pane ySplit="4" topLeftCell="A5" activePane="bottomLeft" state="frozen"/>
      <selection pane="bottomLeft" sqref="A1:H1"/>
    </sheetView>
  </sheetViews>
  <sheetFormatPr defaultColWidth="8.6640625" defaultRowHeight="14.4" x14ac:dyDescent="0.3"/>
  <cols>
    <col min="1" max="1" width="13" customWidth="1"/>
    <col min="2" max="2" width="18" customWidth="1"/>
    <col min="3" max="3" width="10" customWidth="1"/>
    <col min="4" max="4" width="36" customWidth="1"/>
    <col min="5" max="5" width="11" customWidth="1"/>
    <col min="6" max="6" width="13" customWidth="1"/>
    <col min="7" max="8" width="26" customWidth="1"/>
  </cols>
  <sheetData>
    <row r="1" spans="1:8" ht="21" x14ac:dyDescent="0.4">
      <c r="A1" s="22" t="s">
        <v>55</v>
      </c>
      <c r="B1" s="22"/>
      <c r="C1" s="22"/>
      <c r="D1" s="22"/>
      <c r="E1" s="22"/>
      <c r="F1" s="22"/>
      <c r="G1" s="22"/>
      <c r="H1" s="22"/>
    </row>
    <row r="2" spans="1:8" x14ac:dyDescent="0.3">
      <c r="A2" s="23" t="s">
        <v>56</v>
      </c>
      <c r="B2" s="23"/>
      <c r="C2" s="23"/>
      <c r="D2" s="23"/>
      <c r="E2" s="23"/>
      <c r="F2" s="23"/>
      <c r="G2" s="23"/>
      <c r="H2" s="23"/>
    </row>
    <row r="4" spans="1:8" ht="27.75" customHeight="1" x14ac:dyDescent="0.3">
      <c r="A4" s="4" t="s">
        <v>57</v>
      </c>
      <c r="B4" s="4" t="s">
        <v>58</v>
      </c>
      <c r="C4" s="4" t="s">
        <v>22</v>
      </c>
      <c r="D4" s="4" t="s">
        <v>59</v>
      </c>
      <c r="E4" s="4" t="s">
        <v>31</v>
      </c>
      <c r="F4" s="4" t="s">
        <v>27</v>
      </c>
      <c r="G4" s="4" t="s">
        <v>60</v>
      </c>
      <c r="H4" s="4" t="s">
        <v>61</v>
      </c>
    </row>
    <row r="5" spans="1:8" ht="26.4" x14ac:dyDescent="0.3">
      <c r="A5" s="7">
        <v>46287</v>
      </c>
      <c r="B5" s="5" t="s">
        <v>38</v>
      </c>
      <c r="C5" s="5" t="s">
        <v>35</v>
      </c>
      <c r="D5" s="6" t="s">
        <v>62</v>
      </c>
      <c r="E5" s="5">
        <v>4</v>
      </c>
      <c r="F5" s="5" t="s">
        <v>40</v>
      </c>
      <c r="G5" s="6" t="s">
        <v>47</v>
      </c>
      <c r="H5" s="6" t="s">
        <v>63</v>
      </c>
    </row>
    <row r="6" spans="1:8" ht="26.4" x14ac:dyDescent="0.3">
      <c r="A6" s="7">
        <v>46287</v>
      </c>
      <c r="B6" s="5" t="s">
        <v>45</v>
      </c>
      <c r="C6" s="5" t="s">
        <v>42</v>
      </c>
      <c r="D6" s="6" t="s">
        <v>64</v>
      </c>
      <c r="E6" s="5">
        <v>3</v>
      </c>
      <c r="F6" s="5" t="s">
        <v>46</v>
      </c>
      <c r="G6" s="6" t="s">
        <v>47</v>
      </c>
      <c r="H6" s="6" t="s">
        <v>65</v>
      </c>
    </row>
    <row r="7" spans="1:8" x14ac:dyDescent="0.3">
      <c r="A7" s="13"/>
      <c r="B7" s="11"/>
      <c r="C7" s="11"/>
      <c r="D7" s="12"/>
      <c r="E7" s="11"/>
      <c r="F7" s="11"/>
      <c r="G7" s="12"/>
      <c r="H7" s="12"/>
    </row>
    <row r="8" spans="1:8" x14ac:dyDescent="0.3">
      <c r="A8" s="10"/>
      <c r="B8" s="8"/>
      <c r="C8" s="8"/>
      <c r="D8" s="9"/>
      <c r="E8" s="8"/>
      <c r="F8" s="8"/>
      <c r="G8" s="9"/>
      <c r="H8" s="9"/>
    </row>
    <row r="9" spans="1:8" x14ac:dyDescent="0.3">
      <c r="A9" s="13"/>
      <c r="B9" s="11"/>
      <c r="C9" s="11"/>
      <c r="D9" s="12"/>
      <c r="E9" s="11"/>
      <c r="F9" s="11"/>
      <c r="G9" s="12"/>
      <c r="H9" s="12"/>
    </row>
    <row r="10" spans="1:8" x14ac:dyDescent="0.3">
      <c r="A10" s="10"/>
      <c r="B10" s="8"/>
      <c r="C10" s="8"/>
      <c r="D10" s="9"/>
      <c r="E10" s="8"/>
      <c r="F10" s="8"/>
      <c r="G10" s="9"/>
      <c r="H10" s="9"/>
    </row>
    <row r="11" spans="1:8" x14ac:dyDescent="0.3">
      <c r="A11" s="13"/>
      <c r="B11" s="11"/>
      <c r="C11" s="11"/>
      <c r="D11" s="12"/>
      <c r="E11" s="11"/>
      <c r="F11" s="11"/>
      <c r="G11" s="12"/>
      <c r="H11" s="12"/>
    </row>
    <row r="12" spans="1:8" x14ac:dyDescent="0.3">
      <c r="A12" s="10"/>
      <c r="B12" s="8"/>
      <c r="C12" s="8"/>
      <c r="D12" s="9"/>
      <c r="E12" s="8"/>
      <c r="F12" s="8"/>
      <c r="G12" s="9"/>
      <c r="H12" s="9"/>
    </row>
    <row r="13" spans="1:8" x14ac:dyDescent="0.3">
      <c r="A13" s="13"/>
      <c r="B13" s="11"/>
      <c r="C13" s="11"/>
      <c r="D13" s="12"/>
      <c r="E13" s="11"/>
      <c r="F13" s="11"/>
      <c r="G13" s="12"/>
      <c r="H13" s="12"/>
    </row>
    <row r="14" spans="1:8" x14ac:dyDescent="0.3">
      <c r="A14" s="10"/>
      <c r="B14" s="8"/>
      <c r="C14" s="8"/>
      <c r="D14" s="9"/>
      <c r="E14" s="8"/>
      <c r="F14" s="8"/>
      <c r="G14" s="9"/>
      <c r="H14" s="9"/>
    </row>
    <row r="15" spans="1:8" x14ac:dyDescent="0.3">
      <c r="A15" s="13"/>
      <c r="B15" s="11"/>
      <c r="C15" s="11"/>
      <c r="D15" s="12"/>
      <c r="E15" s="11"/>
      <c r="F15" s="11"/>
      <c r="G15" s="12"/>
      <c r="H15" s="12"/>
    </row>
    <row r="16" spans="1:8" x14ac:dyDescent="0.3">
      <c r="A16" s="10"/>
      <c r="B16" s="8"/>
      <c r="C16" s="8"/>
      <c r="D16" s="9"/>
      <c r="E16" s="8"/>
      <c r="F16" s="8"/>
      <c r="G16" s="9"/>
      <c r="H16" s="9"/>
    </row>
    <row r="17" spans="1:8" x14ac:dyDescent="0.3">
      <c r="A17" s="13"/>
      <c r="B17" s="11"/>
      <c r="C17" s="11"/>
      <c r="D17" s="12"/>
      <c r="E17" s="11"/>
      <c r="F17" s="11"/>
      <c r="G17" s="12"/>
      <c r="H17" s="12"/>
    </row>
    <row r="18" spans="1:8" x14ac:dyDescent="0.3">
      <c r="A18" s="10"/>
      <c r="B18" s="8"/>
      <c r="C18" s="8"/>
      <c r="D18" s="9"/>
      <c r="E18" s="8"/>
      <c r="F18" s="8"/>
      <c r="G18" s="9"/>
      <c r="H18" s="9"/>
    </row>
    <row r="19" spans="1:8" x14ac:dyDescent="0.3">
      <c r="A19" s="13"/>
      <c r="B19" s="11"/>
      <c r="C19" s="11"/>
      <c r="D19" s="12"/>
      <c r="E19" s="11"/>
      <c r="F19" s="11"/>
      <c r="G19" s="12"/>
      <c r="H19" s="12"/>
    </row>
    <row r="20" spans="1:8" x14ac:dyDescent="0.3">
      <c r="A20" s="10"/>
      <c r="B20" s="8"/>
      <c r="C20" s="8"/>
      <c r="D20" s="9"/>
      <c r="E20" s="8"/>
      <c r="F20" s="8"/>
      <c r="G20" s="9"/>
      <c r="H20" s="9"/>
    </row>
    <row r="21" spans="1:8" x14ac:dyDescent="0.3">
      <c r="A21" s="13"/>
      <c r="B21" s="11"/>
      <c r="C21" s="11"/>
      <c r="D21" s="12"/>
      <c r="E21" s="11"/>
      <c r="F21" s="11"/>
      <c r="G21" s="12"/>
      <c r="H21" s="12"/>
    </row>
    <row r="22" spans="1:8" x14ac:dyDescent="0.3">
      <c r="A22" s="10"/>
      <c r="B22" s="8"/>
      <c r="C22" s="8"/>
      <c r="D22" s="9"/>
      <c r="E22" s="8"/>
      <c r="F22" s="8"/>
      <c r="G22" s="9"/>
      <c r="H22" s="9"/>
    </row>
    <row r="23" spans="1:8" x14ac:dyDescent="0.3">
      <c r="A23" s="13"/>
      <c r="B23" s="11"/>
      <c r="C23" s="11"/>
      <c r="D23" s="12"/>
      <c r="E23" s="11"/>
      <c r="F23" s="11"/>
      <c r="G23" s="12"/>
      <c r="H23" s="12"/>
    </row>
    <row r="24" spans="1:8" x14ac:dyDescent="0.3">
      <c r="A24" s="10"/>
      <c r="B24" s="8"/>
      <c r="C24" s="8"/>
      <c r="D24" s="9"/>
      <c r="E24" s="8"/>
      <c r="F24" s="8"/>
      <c r="G24" s="9"/>
      <c r="H24" s="9"/>
    </row>
    <row r="25" spans="1:8" x14ac:dyDescent="0.3">
      <c r="A25" s="13"/>
      <c r="B25" s="11"/>
      <c r="C25" s="11"/>
      <c r="D25" s="12"/>
      <c r="E25" s="11"/>
      <c r="F25" s="11"/>
      <c r="G25" s="12"/>
      <c r="H25" s="12"/>
    </row>
    <row r="26" spans="1:8" x14ac:dyDescent="0.3">
      <c r="A26" s="10"/>
      <c r="B26" s="8"/>
      <c r="C26" s="8"/>
      <c r="D26" s="9"/>
      <c r="E26" s="8"/>
      <c r="F26" s="8"/>
      <c r="G26" s="9"/>
      <c r="H26" s="9"/>
    </row>
    <row r="27" spans="1:8" x14ac:dyDescent="0.3">
      <c r="A27" s="13"/>
      <c r="B27" s="11"/>
      <c r="C27" s="11"/>
      <c r="D27" s="12"/>
      <c r="E27" s="11"/>
      <c r="F27" s="11"/>
      <c r="G27" s="12"/>
      <c r="H27" s="12"/>
    </row>
    <row r="28" spans="1:8" x14ac:dyDescent="0.3">
      <c r="A28" s="10"/>
      <c r="B28" s="8"/>
      <c r="C28" s="8"/>
      <c r="D28" s="9"/>
      <c r="E28" s="8"/>
      <c r="F28" s="8"/>
      <c r="G28" s="9"/>
      <c r="H28" s="9"/>
    </row>
    <row r="29" spans="1:8" x14ac:dyDescent="0.3">
      <c r="A29" s="13"/>
      <c r="B29" s="11"/>
      <c r="C29" s="11"/>
      <c r="D29" s="12"/>
      <c r="E29" s="11"/>
      <c r="F29" s="11"/>
      <c r="G29" s="12"/>
      <c r="H29" s="12"/>
    </row>
    <row r="30" spans="1:8" x14ac:dyDescent="0.3">
      <c r="A30" s="10"/>
      <c r="B30" s="8"/>
      <c r="C30" s="8"/>
      <c r="D30" s="9"/>
      <c r="E30" s="8"/>
      <c r="F30" s="8"/>
      <c r="G30" s="9"/>
      <c r="H30" s="9"/>
    </row>
    <row r="31" spans="1:8" x14ac:dyDescent="0.3">
      <c r="A31" s="13"/>
      <c r="B31" s="11"/>
      <c r="C31" s="11"/>
      <c r="D31" s="12"/>
      <c r="E31" s="11"/>
      <c r="F31" s="11"/>
      <c r="G31" s="12"/>
      <c r="H31" s="12"/>
    </row>
    <row r="32" spans="1:8" x14ac:dyDescent="0.3">
      <c r="A32" s="10"/>
      <c r="B32" s="8"/>
      <c r="C32" s="8"/>
      <c r="D32" s="9"/>
      <c r="E32" s="8"/>
      <c r="F32" s="8"/>
      <c r="G32" s="9"/>
      <c r="H32" s="9"/>
    </row>
    <row r="33" spans="1:8" x14ac:dyDescent="0.3">
      <c r="A33" s="13"/>
      <c r="B33" s="11"/>
      <c r="C33" s="11"/>
      <c r="D33" s="12"/>
      <c r="E33" s="11"/>
      <c r="F33" s="11"/>
      <c r="G33" s="12"/>
      <c r="H33" s="12"/>
    </row>
    <row r="34" spans="1:8" x14ac:dyDescent="0.3">
      <c r="A34" s="10"/>
      <c r="B34" s="8"/>
      <c r="C34" s="8"/>
      <c r="D34" s="9"/>
      <c r="E34" s="8"/>
      <c r="F34" s="8"/>
      <c r="G34" s="9"/>
      <c r="H34" s="9"/>
    </row>
    <row r="35" spans="1:8" x14ac:dyDescent="0.3">
      <c r="A35" s="13"/>
      <c r="B35" s="11"/>
      <c r="C35" s="11"/>
      <c r="D35" s="12"/>
      <c r="E35" s="11"/>
      <c r="F35" s="11"/>
      <c r="G35" s="12"/>
      <c r="H35" s="12"/>
    </row>
    <row r="36" spans="1:8" x14ac:dyDescent="0.3">
      <c r="A36" s="10"/>
      <c r="B36" s="8"/>
      <c r="C36" s="8"/>
      <c r="D36" s="9"/>
      <c r="E36" s="8"/>
      <c r="F36" s="8"/>
      <c r="G36" s="9"/>
      <c r="H36" s="9"/>
    </row>
    <row r="37" spans="1:8" x14ac:dyDescent="0.3">
      <c r="A37" s="13"/>
      <c r="B37" s="11"/>
      <c r="C37" s="11"/>
      <c r="D37" s="12"/>
      <c r="E37" s="11"/>
      <c r="F37" s="11"/>
      <c r="G37" s="12"/>
      <c r="H37" s="12"/>
    </row>
    <row r="38" spans="1:8" x14ac:dyDescent="0.3">
      <c r="A38" s="10"/>
      <c r="B38" s="8"/>
      <c r="C38" s="8"/>
      <c r="D38" s="9"/>
      <c r="E38" s="8"/>
      <c r="F38" s="8"/>
      <c r="G38" s="9"/>
      <c r="H38" s="9"/>
    </row>
    <row r="39" spans="1:8" x14ac:dyDescent="0.3">
      <c r="A39" s="13"/>
      <c r="B39" s="11"/>
      <c r="C39" s="11"/>
      <c r="D39" s="12"/>
      <c r="E39" s="11"/>
      <c r="F39" s="11"/>
      <c r="G39" s="12"/>
      <c r="H39" s="12"/>
    </row>
    <row r="40" spans="1:8" x14ac:dyDescent="0.3">
      <c r="A40" s="10"/>
      <c r="B40" s="8"/>
      <c r="C40" s="8"/>
      <c r="D40" s="9"/>
      <c r="E40" s="8"/>
      <c r="F40" s="8"/>
      <c r="G40" s="9"/>
      <c r="H40" s="9"/>
    </row>
    <row r="41" spans="1:8" x14ac:dyDescent="0.3">
      <c r="A41" s="13"/>
      <c r="B41" s="11"/>
      <c r="C41" s="11"/>
      <c r="D41" s="12"/>
      <c r="E41" s="11"/>
      <c r="F41" s="11"/>
      <c r="G41" s="12"/>
      <c r="H41" s="12"/>
    </row>
    <row r="42" spans="1:8" x14ac:dyDescent="0.3">
      <c r="A42" s="10"/>
      <c r="B42" s="8"/>
      <c r="C42" s="8"/>
      <c r="D42" s="9"/>
      <c r="E42" s="8"/>
      <c r="F42" s="8"/>
      <c r="G42" s="9"/>
      <c r="H42" s="9"/>
    </row>
    <row r="43" spans="1:8" x14ac:dyDescent="0.3">
      <c r="A43" s="13"/>
      <c r="B43" s="11"/>
      <c r="C43" s="11"/>
      <c r="D43" s="12"/>
      <c r="E43" s="11"/>
      <c r="F43" s="11"/>
      <c r="G43" s="12"/>
      <c r="H43" s="12"/>
    </row>
    <row r="44" spans="1:8" x14ac:dyDescent="0.3">
      <c r="A44" s="10"/>
      <c r="B44" s="8"/>
      <c r="C44" s="8"/>
      <c r="D44" s="9"/>
      <c r="E44" s="8"/>
      <c r="F44" s="8"/>
      <c r="G44" s="9"/>
      <c r="H44" s="9"/>
    </row>
    <row r="45" spans="1:8" x14ac:dyDescent="0.3">
      <c r="A45" s="13"/>
      <c r="B45" s="11"/>
      <c r="C45" s="11"/>
      <c r="D45" s="12"/>
      <c r="E45" s="11"/>
      <c r="F45" s="11"/>
      <c r="G45" s="12"/>
      <c r="H45" s="12"/>
    </row>
    <row r="46" spans="1:8" x14ac:dyDescent="0.3">
      <c r="A46" s="10"/>
      <c r="B46" s="8"/>
      <c r="C46" s="8"/>
      <c r="D46" s="9"/>
      <c r="E46" s="8"/>
      <c r="F46" s="8"/>
      <c r="G46" s="9"/>
      <c r="H46" s="9"/>
    </row>
  </sheetData>
  <mergeCells count="2">
    <mergeCell ref="A1:H1"/>
    <mergeCell ref="A2:H2"/>
  </mergeCells>
  <dataValidations count="1">
    <dataValidation type="list" allowBlank="1" sqref="F5:F46" xr:uid="{00000000-0002-0000-0200-000000000000}">
      <formula1>"Not Started,In Progress,Blocked,In Review,Completed"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5"/>
  <sheetViews>
    <sheetView showGridLines="0" topLeftCell="A16" zoomScaleNormal="100" workbookViewId="0"/>
  </sheetViews>
  <sheetFormatPr defaultColWidth="8.6640625" defaultRowHeight="14.4" x14ac:dyDescent="0.3"/>
  <cols>
    <col min="1" max="1" width="3" customWidth="1"/>
    <col min="2" max="2" width="22" customWidth="1"/>
    <col min="3" max="3" width="14" customWidth="1"/>
  </cols>
  <sheetData>
    <row r="2" spans="2:3" ht="21" x14ac:dyDescent="0.4">
      <c r="B2" s="2" t="s">
        <v>66</v>
      </c>
    </row>
    <row r="3" spans="2:3" x14ac:dyDescent="0.3">
      <c r="B3" s="1" t="s">
        <v>67</v>
      </c>
    </row>
    <row r="5" spans="2:3" x14ac:dyDescent="0.3">
      <c r="B5" s="14" t="s">
        <v>68</v>
      </c>
    </row>
    <row r="6" spans="2:3" x14ac:dyDescent="0.3">
      <c r="B6" s="15" t="s">
        <v>69</v>
      </c>
      <c r="C6" s="16">
        <f>COUNTIF('Task Tracker'!$A$5:$A$32,"&lt;&gt;")</f>
        <v>3</v>
      </c>
    </row>
    <row r="7" spans="2:3" x14ac:dyDescent="0.3">
      <c r="B7" s="15" t="s">
        <v>53</v>
      </c>
      <c r="C7" s="16">
        <f>COUNTIF('Task Tracker'!$F$5:$F$32,"Not Started")</f>
        <v>1</v>
      </c>
    </row>
    <row r="8" spans="2:3" x14ac:dyDescent="0.3">
      <c r="B8" s="15" t="s">
        <v>40</v>
      </c>
      <c r="C8" s="16">
        <f>COUNTIF('Task Tracker'!$F$5:$F$32,"In Progress")</f>
        <v>1</v>
      </c>
    </row>
    <row r="9" spans="2:3" x14ac:dyDescent="0.3">
      <c r="B9" s="15" t="s">
        <v>70</v>
      </c>
      <c r="C9" s="16">
        <f>COUNTIF('Task Tracker'!$F$5:$F$32,"Blocked")</f>
        <v>0</v>
      </c>
    </row>
    <row r="10" spans="2:3" x14ac:dyDescent="0.3">
      <c r="B10" s="15" t="s">
        <v>71</v>
      </c>
      <c r="C10" s="16">
        <f>COUNTIF('Task Tracker'!$F$5:$F$32,"In Review")</f>
        <v>0</v>
      </c>
    </row>
    <row r="11" spans="2:3" x14ac:dyDescent="0.3">
      <c r="B11" s="15" t="s">
        <v>46</v>
      </c>
      <c r="C11" s="16">
        <f>COUNTIF('Task Tracker'!$F$5:$F$32,"Completed")</f>
        <v>1</v>
      </c>
    </row>
    <row r="13" spans="2:3" x14ac:dyDescent="0.3">
      <c r="B13" s="14" t="s">
        <v>72</v>
      </c>
    </row>
    <row r="14" spans="2:3" x14ac:dyDescent="0.3">
      <c r="B14" s="15" t="s">
        <v>73</v>
      </c>
      <c r="C14" s="17">
        <f>SUM('Task Tracker'!$I$5:$I$32)</f>
        <v>29</v>
      </c>
    </row>
    <row r="15" spans="2:3" x14ac:dyDescent="0.3">
      <c r="B15" s="15" t="s">
        <v>74</v>
      </c>
      <c r="C15" s="17">
        <f>SUM('Task Tracker'!$J$5:$J$32)</f>
        <v>27</v>
      </c>
    </row>
    <row r="16" spans="2:3" x14ac:dyDescent="0.3">
      <c r="B16" s="15" t="s">
        <v>75</v>
      </c>
      <c r="C16" s="18">
        <f>IFERROR(AVERAGE('Task Tracker'!$K$5:$K$32),0)</f>
        <v>53.333333333333336</v>
      </c>
    </row>
    <row r="20" spans="2:6" x14ac:dyDescent="0.3">
      <c r="B20" s="14" t="s">
        <v>27</v>
      </c>
      <c r="C20" s="14" t="s">
        <v>76</v>
      </c>
      <c r="E20" t="s">
        <v>77</v>
      </c>
      <c r="F20" t="s">
        <v>78</v>
      </c>
    </row>
    <row r="21" spans="2:6" x14ac:dyDescent="0.3">
      <c r="B21" t="s">
        <v>53</v>
      </c>
      <c r="C21">
        <f>C7</f>
        <v>1</v>
      </c>
      <c r="E21" t="s">
        <v>30</v>
      </c>
      <c r="F21" s="19">
        <f>C14</f>
        <v>29</v>
      </c>
    </row>
    <row r="22" spans="2:6" x14ac:dyDescent="0.3">
      <c r="B22" t="s">
        <v>40</v>
      </c>
      <c r="C22">
        <f>C8</f>
        <v>1</v>
      </c>
      <c r="E22" t="s">
        <v>79</v>
      </c>
      <c r="F22" s="19">
        <f>C15</f>
        <v>27</v>
      </c>
    </row>
    <row r="23" spans="2:6" x14ac:dyDescent="0.3">
      <c r="B23" t="s">
        <v>70</v>
      </c>
      <c r="C23">
        <f>C9</f>
        <v>0</v>
      </c>
    </row>
    <row r="24" spans="2:6" x14ac:dyDescent="0.3">
      <c r="B24" t="s">
        <v>71</v>
      </c>
      <c r="C24">
        <f>C10</f>
        <v>0</v>
      </c>
    </row>
    <row r="25" spans="2:6" x14ac:dyDescent="0.3">
      <c r="B25" t="s">
        <v>46</v>
      </c>
      <c r="C25">
        <f>C11</f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Task Tracker</vt:lpstr>
      <vt:lpstr>Daily Work Log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Mallik Arjun</cp:lastModifiedBy>
  <cp:revision>1</cp:revision>
  <dcterms:created xsi:type="dcterms:W3CDTF">2026-09-23T11:54:13Z</dcterms:created>
  <dcterms:modified xsi:type="dcterms:W3CDTF">2026-09-28T04:14:30Z</dcterms:modified>
  <dc:language>en-US</dc:language>
</cp:coreProperties>
</file>